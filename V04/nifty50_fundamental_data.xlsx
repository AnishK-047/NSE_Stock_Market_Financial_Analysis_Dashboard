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V04\"/>
    </mc:Choice>
  </mc:AlternateContent>
  <xr:revisionPtr revIDLastSave="0" documentId="13_ncr:1_{8961C88C-FF6D-4557-9239-7C17FC328C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</calcChain>
</file>

<file path=xl/sharedStrings.xml><?xml version="1.0" encoding="utf-8"?>
<sst xmlns="http://schemas.openxmlformats.org/spreadsheetml/2006/main" count="171" uniqueCount="103">
  <si>
    <t>Stock</t>
  </si>
  <si>
    <t>Market_Cap</t>
  </si>
  <si>
    <t>PE_Ratio</t>
  </si>
  <si>
    <t>PB_Ratio</t>
  </si>
  <si>
    <t>ROE</t>
  </si>
  <si>
    <t>ROA</t>
  </si>
  <si>
    <t>Debt_to_Equity</t>
  </si>
  <si>
    <t>EPS</t>
  </si>
  <si>
    <t>Revenue</t>
  </si>
  <si>
    <t>Profit_Margin</t>
  </si>
  <si>
    <t>Dividend_Yield</t>
  </si>
  <si>
    <t>Sector</t>
  </si>
  <si>
    <t>Industry</t>
  </si>
  <si>
    <t>ADANIENT.NS</t>
  </si>
  <si>
    <t>Energy</t>
  </si>
  <si>
    <t>Thermal Coal</t>
  </si>
  <si>
    <t>ADANIPORTS.NS</t>
  </si>
  <si>
    <t>Industrials</t>
  </si>
  <si>
    <t>Marine Shipping</t>
  </si>
  <si>
    <t>APOLLOHOSP.NS</t>
  </si>
  <si>
    <t>Healthcare</t>
  </si>
  <si>
    <t>Medical Care Facilities</t>
  </si>
  <si>
    <t>ASIANPAINT.NS</t>
  </si>
  <si>
    <t>Basic Materials</t>
  </si>
  <si>
    <t>Specialty Chemicals</t>
  </si>
  <si>
    <t>AXISBANK.NS</t>
  </si>
  <si>
    <t>NA</t>
  </si>
  <si>
    <t>Financial Services</t>
  </si>
  <si>
    <t>Banks - Regional</t>
  </si>
  <si>
    <t>BAJAJ-AUTO.NS</t>
  </si>
  <si>
    <t>Consumer Cyclical</t>
  </si>
  <si>
    <t>Auto Manufacturers</t>
  </si>
  <si>
    <t>BAJAJFINSV.NS</t>
  </si>
  <si>
    <t>Financial Conglomerates</t>
  </si>
  <si>
    <t>BAJFINANCE.NS</t>
  </si>
  <si>
    <t>Credit Services</t>
  </si>
  <si>
    <t>BEL.NS</t>
  </si>
  <si>
    <t>Aerospace &amp; Defense</t>
  </si>
  <si>
    <t>BHARTIARTL.NS</t>
  </si>
  <si>
    <t>Communication Services</t>
  </si>
  <si>
    <t>Telecom Services</t>
  </si>
  <si>
    <t>CIPLA.NS</t>
  </si>
  <si>
    <t>Drug Manufacturers - Specialty &amp; Generic</t>
  </si>
  <si>
    <t>COALINDIA.NS</t>
  </si>
  <si>
    <t>DRREDDY.NS</t>
  </si>
  <si>
    <t>EICHERMOT.NS</t>
  </si>
  <si>
    <t>GRASIM.NS</t>
  </si>
  <si>
    <t>Building Materials</t>
  </si>
  <si>
    <t>HCLTECH.NS</t>
  </si>
  <si>
    <t>Technology</t>
  </si>
  <si>
    <t>Information Technology Services</t>
  </si>
  <si>
    <t>HDFCBANK.NS</t>
  </si>
  <si>
    <t>HDFCLIFE.NS</t>
  </si>
  <si>
    <t>Insurance - Life</t>
  </si>
  <si>
    <t>HINDALCO.NS</t>
  </si>
  <si>
    <t>Aluminum</t>
  </si>
  <si>
    <t>HINDUNILVR.NS</t>
  </si>
  <si>
    <t>Consumer Defensive</t>
  </si>
  <si>
    <t>Household &amp; Personal Products</t>
  </si>
  <si>
    <t>ICICIBANK.NS</t>
  </si>
  <si>
    <t>INDIGO.NS</t>
  </si>
  <si>
    <t>Airlines</t>
  </si>
  <si>
    <t>INFY.NS</t>
  </si>
  <si>
    <t>ITC.NS</t>
  </si>
  <si>
    <t>Tobacco</t>
  </si>
  <si>
    <t>JIOFIN.NS</t>
  </si>
  <si>
    <t>Asset Management</t>
  </si>
  <si>
    <t>JSWSTEEL.NS</t>
  </si>
  <si>
    <t>Steel</t>
  </si>
  <si>
    <t>KOTAKBANK.NS</t>
  </si>
  <si>
    <t>LT.NS</t>
  </si>
  <si>
    <t>Engineering &amp; Construction</t>
  </si>
  <si>
    <t>M&amp;M.NS</t>
  </si>
  <si>
    <t>MARUTI.NS</t>
  </si>
  <si>
    <t>MAXHEALTH.NS</t>
  </si>
  <si>
    <t>NESTLEIND.NS</t>
  </si>
  <si>
    <t>Packaged Foods</t>
  </si>
  <si>
    <t>NTPC.NS</t>
  </si>
  <si>
    <t>Utilities</t>
  </si>
  <si>
    <t>Utilities - Regulated Electric</t>
  </si>
  <si>
    <t>ONGC.NS</t>
  </si>
  <si>
    <t>Oil &amp; Gas Integrated</t>
  </si>
  <si>
    <t>POWERGRID.NS</t>
  </si>
  <si>
    <t>RELIANCE.NS</t>
  </si>
  <si>
    <t>Oil &amp; Gas Refining &amp; Marketing</t>
  </si>
  <si>
    <t>SBILIFE.NS</t>
  </si>
  <si>
    <t>SBIN.NS</t>
  </si>
  <si>
    <t>SHRIRAMFIN.NS</t>
  </si>
  <si>
    <t>SUNPHARMA.NS</t>
  </si>
  <si>
    <t>TATACONSUM.NS</t>
  </si>
  <si>
    <t>TATASTEEL.NS</t>
  </si>
  <si>
    <t>TCS.NS</t>
  </si>
  <si>
    <t>TECHM.NS</t>
  </si>
  <si>
    <t>TITAN.NS</t>
  </si>
  <si>
    <t>Luxury Goods</t>
  </si>
  <si>
    <t>TMPV.NS</t>
  </si>
  <si>
    <t>TRENT.NS</t>
  </si>
  <si>
    <t>Apparel Retail</t>
  </si>
  <si>
    <t>ULTRACEMCO.NS</t>
  </si>
  <si>
    <t>WIPRO.NS</t>
  </si>
  <si>
    <t>ETERNAL.NS</t>
  </si>
  <si>
    <t>Internet Retail</t>
  </si>
  <si>
    <t>Dividend_Yield in 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</si>
</sst>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 vertical="top"/>
    </xf>
    <xf numFmtId="10" fontId="0" fillId="0" borderId="0" xfId="0" applyNumberFormat="1"/>
    <xf numFmtId="10" fontId="3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N2" sqref="N2"/>
    </sheetView>
  </sheetViews>
  <sheetFormatPr defaultRowHeight="14.4" x14ac:dyDescent="0.3"/>
  <cols>
    <col min="1" max="1" width="15.77734375" style="2" bestFit="1" customWidth="1"/>
    <col min="2" max="2" width="17.77734375" style="4" bestFit="1" customWidth="1"/>
    <col min="3" max="3" width="10" style="4" bestFit="1" customWidth="1"/>
    <col min="4" max="4" width="11" style="4" bestFit="1" customWidth="1"/>
    <col min="5" max="6" width="12" style="6" bestFit="1" customWidth="1"/>
    <col min="7" max="7" width="14.21875" style="4" bestFit="1" customWidth="1"/>
    <col min="8" max="8" width="7" style="4" bestFit="1" customWidth="1"/>
    <col min="9" max="9" width="17.77734375" style="4" bestFit="1" customWidth="1"/>
    <col min="10" max="10" width="12.6640625" style="4" bestFit="1" customWidth="1"/>
    <col min="11" max="11" width="13.5546875" style="2" bestFit="1" customWidth="1"/>
    <col min="12" max="12" width="21.109375" style="8" bestFit="1" customWidth="1"/>
    <col min="13" max="13" width="35.109375" style="8" bestFit="1" customWidth="1"/>
    <col min="14" max="14" width="13.5546875" style="9" bestFit="1" customWidth="1"/>
  </cols>
  <sheetData>
    <row r="1" spans="1:14" x14ac:dyDescent="0.3">
      <c r="A1" s="1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7" t="s">
        <v>11</v>
      </c>
      <c r="M1" s="7" t="s">
        <v>12</v>
      </c>
      <c r="N1" s="10" t="s">
        <v>102</v>
      </c>
    </row>
    <row r="2" spans="1:14" x14ac:dyDescent="0.3">
      <c r="A2" s="2" t="s">
        <v>13</v>
      </c>
      <c r="B2" s="4">
        <v>2399726469120</v>
      </c>
      <c r="C2" s="4">
        <v>15.922646</v>
      </c>
      <c r="D2" s="4">
        <v>3.9541303999999999</v>
      </c>
      <c r="E2" s="6">
        <v>0.14109401424693779</v>
      </c>
      <c r="F2" s="6">
        <v>3.5829008768442049E-2</v>
      </c>
      <c r="G2" s="4">
        <v>177.767</v>
      </c>
      <c r="H2" s="4">
        <v>110.66</v>
      </c>
      <c r="I2" s="4">
        <v>949951594496</v>
      </c>
      <c r="J2" s="4">
        <v>0.14111000000000001</v>
      </c>
      <c r="K2" s="2">
        <v>7.0000000000000007E-2</v>
      </c>
      <c r="L2" s="8" t="s">
        <v>14</v>
      </c>
      <c r="M2" s="8" t="s">
        <v>15</v>
      </c>
      <c r="N2" s="9">
        <f>K2/100</f>
        <v>7.000000000000001E-4</v>
      </c>
    </row>
    <row r="3" spans="1:14" x14ac:dyDescent="0.3">
      <c r="A3" s="2" t="s">
        <v>16</v>
      </c>
      <c r="B3" s="4">
        <v>3022102986752</v>
      </c>
      <c r="C3" s="4">
        <v>22.697697000000002</v>
      </c>
      <c r="D3" s="4">
        <v>4.2249664999999998</v>
      </c>
      <c r="E3" s="6">
        <v>0.17766061844091949</v>
      </c>
      <c r="F3" s="6">
        <v>8.1963549998400234E-2</v>
      </c>
      <c r="G3" s="4">
        <v>81.555999999999997</v>
      </c>
      <c r="H3" s="4">
        <v>57.79</v>
      </c>
      <c r="I3" s="4">
        <v>364866306048</v>
      </c>
      <c r="J3" s="4">
        <v>0.34236</v>
      </c>
      <c r="K3" s="2">
        <v>0.52</v>
      </c>
      <c r="L3" s="8" t="s">
        <v>17</v>
      </c>
      <c r="M3" s="8" t="s">
        <v>18</v>
      </c>
      <c r="N3" s="9">
        <f>K3/100</f>
        <v>5.1999999999999998E-3</v>
      </c>
    </row>
    <row r="4" spans="1:14" x14ac:dyDescent="0.3">
      <c r="A4" s="2" t="s">
        <v>19</v>
      </c>
      <c r="B4" s="4">
        <v>1067744886784</v>
      </c>
      <c r="C4" s="4">
        <v>59.261032</v>
      </c>
      <c r="D4" s="4">
        <v>11.741584</v>
      </c>
      <c r="E4" s="6">
        <v>0.17606517053687759</v>
      </c>
      <c r="F4" s="6">
        <v>6.9994287761286508E-2</v>
      </c>
      <c r="G4" s="4">
        <v>83.605999999999995</v>
      </c>
      <c r="H4" s="4">
        <v>125.31</v>
      </c>
      <c r="I4" s="4">
        <v>242151997440</v>
      </c>
      <c r="J4" s="4">
        <v>7.4410000000000004E-2</v>
      </c>
      <c r="K4" s="2">
        <v>0.26</v>
      </c>
      <c r="L4" s="8" t="s">
        <v>20</v>
      </c>
      <c r="M4" s="8" t="s">
        <v>21</v>
      </c>
      <c r="N4" s="9">
        <f>K4/100</f>
        <v>2.5999999999999999E-3</v>
      </c>
    </row>
    <row r="5" spans="1:14" x14ac:dyDescent="0.3">
      <c r="A5" s="2" t="s">
        <v>22</v>
      </c>
      <c r="B5" s="4">
        <v>2077849157632</v>
      </c>
      <c r="C5" s="4">
        <v>53.96067</v>
      </c>
      <c r="D5" s="4">
        <v>10.607811</v>
      </c>
      <c r="E5" s="6">
        <v>0.18903432559391051</v>
      </c>
      <c r="F5" s="6">
        <v>0.12074628177787169</v>
      </c>
      <c r="G5" s="4">
        <v>17.609000000000002</v>
      </c>
      <c r="H5" s="4">
        <v>40.17</v>
      </c>
      <c r="I5" s="4">
        <v>346495287296</v>
      </c>
      <c r="J5" s="4">
        <v>0.11098</v>
      </c>
      <c r="K5" s="2">
        <v>1.1299999999999999</v>
      </c>
      <c r="L5" s="8" t="s">
        <v>23</v>
      </c>
      <c r="M5" s="8" t="s">
        <v>24</v>
      </c>
      <c r="N5" s="9">
        <f>K5/100</f>
        <v>1.1299999999999999E-2</v>
      </c>
    </row>
    <row r="6" spans="1:14" x14ac:dyDescent="0.3">
      <c r="A6" s="2" t="s">
        <v>25</v>
      </c>
      <c r="B6" s="4">
        <v>3630049263616</v>
      </c>
      <c r="C6" s="4">
        <v>13.865148</v>
      </c>
      <c r="D6" s="4">
        <v>1.7519020000000001</v>
      </c>
      <c r="E6" s="6">
        <v>0.14983863369065339</v>
      </c>
      <c r="F6" s="6">
        <v>1.6931649411207901E-2</v>
      </c>
      <c r="G6" s="4" t="s">
        <v>26</v>
      </c>
      <c r="H6" s="4">
        <v>84.24</v>
      </c>
      <c r="I6" s="4">
        <v>768435683328</v>
      </c>
      <c r="J6" s="4">
        <v>0.3417</v>
      </c>
      <c r="K6" s="2">
        <v>0.08</v>
      </c>
      <c r="L6" s="8" t="s">
        <v>27</v>
      </c>
      <c r="M6" s="8" t="s">
        <v>28</v>
      </c>
      <c r="N6" s="9">
        <f>K6/100</f>
        <v>8.0000000000000004E-4</v>
      </c>
    </row>
    <row r="7" spans="1:14" x14ac:dyDescent="0.3">
      <c r="A7" s="2" t="s">
        <v>29</v>
      </c>
      <c r="B7" s="4">
        <v>2449044930560</v>
      </c>
      <c r="C7" s="4">
        <v>27.598579999999998</v>
      </c>
      <c r="D7" s="4">
        <v>7.1662970000000001</v>
      </c>
      <c r="E7" s="6">
        <v>0.20815550656261059</v>
      </c>
      <c r="F7" s="6">
        <v>0.1351460858498032</v>
      </c>
      <c r="G7" s="4">
        <v>57.256999999999998</v>
      </c>
      <c r="H7" s="4">
        <v>317.77</v>
      </c>
      <c r="I7" s="4">
        <v>590238384128</v>
      </c>
      <c r="J7" s="4">
        <v>0.15051999999999999</v>
      </c>
      <c r="K7" s="2">
        <v>2.36</v>
      </c>
      <c r="L7" s="8" t="s">
        <v>30</v>
      </c>
      <c r="M7" s="8" t="s">
        <v>31</v>
      </c>
      <c r="N7" s="9">
        <f>K7/100</f>
        <v>2.3599999999999999E-2</v>
      </c>
    </row>
    <row r="8" spans="1:14" x14ac:dyDescent="0.3">
      <c r="A8" s="2" t="s">
        <v>32</v>
      </c>
      <c r="B8" s="4">
        <v>2607914156032</v>
      </c>
      <c r="C8" s="4">
        <v>27.290205</v>
      </c>
      <c r="D8" s="4">
        <v>3.3967955000000001</v>
      </c>
      <c r="E8" s="6">
        <v>0.1225536571360769</v>
      </c>
      <c r="F8" s="6">
        <v>1.3603005226931581E-2</v>
      </c>
      <c r="G8" s="4">
        <v>237.53700000000001</v>
      </c>
      <c r="H8" s="4">
        <v>59.82</v>
      </c>
      <c r="I8" s="4">
        <v>1470303567872</v>
      </c>
      <c r="J8" s="4">
        <v>6.583E-2</v>
      </c>
      <c r="K8" s="2">
        <v>0.06</v>
      </c>
      <c r="L8" s="8" t="s">
        <v>27</v>
      </c>
      <c r="M8" s="8" t="s">
        <v>33</v>
      </c>
      <c r="N8" s="9">
        <f>K8/100</f>
        <v>5.9999999999999995E-4</v>
      </c>
    </row>
    <row r="9" spans="1:14" x14ac:dyDescent="0.3">
      <c r="A9" s="2" t="s">
        <v>34</v>
      </c>
      <c r="B9" s="4">
        <v>4979292635136</v>
      </c>
      <c r="C9" s="4">
        <v>27.677954</v>
      </c>
      <c r="D9" s="4">
        <v>4.8198423000000004</v>
      </c>
      <c r="E9" s="6">
        <v>0.1720687368158583</v>
      </c>
      <c r="F9" s="6">
        <v>3.5693761717170411E-2</v>
      </c>
      <c r="G9" s="4">
        <v>310.29399999999998</v>
      </c>
      <c r="H9" s="4">
        <v>28.94</v>
      </c>
      <c r="I9" s="4">
        <v>412833284096</v>
      </c>
      <c r="J9" s="4">
        <v>0.43680000000000002</v>
      </c>
      <c r="K9" s="2">
        <v>0.52</v>
      </c>
      <c r="L9" s="8" t="s">
        <v>27</v>
      </c>
      <c r="M9" s="8" t="s">
        <v>35</v>
      </c>
      <c r="N9" s="9">
        <f>K9/100</f>
        <v>5.1999999999999998E-3</v>
      </c>
    </row>
    <row r="10" spans="1:14" x14ac:dyDescent="0.3">
      <c r="A10" s="2" t="s">
        <v>36</v>
      </c>
      <c r="B10" s="4">
        <v>2934145286144</v>
      </c>
      <c r="C10" s="4">
        <v>49.070903999999999</v>
      </c>
      <c r="D10" s="4">
        <v>13.617858999999999</v>
      </c>
      <c r="E10" s="6">
        <v>0.26641981106334323</v>
      </c>
      <c r="F10" s="6">
        <v>0.13032568195521829</v>
      </c>
      <c r="G10" s="4">
        <v>0.27300000000000002</v>
      </c>
      <c r="H10" s="4">
        <v>8.18</v>
      </c>
      <c r="I10" s="4">
        <v>265352708096</v>
      </c>
      <c r="J10" s="4">
        <v>0.22475000000000001</v>
      </c>
      <c r="K10" s="2">
        <v>1.07</v>
      </c>
      <c r="L10" s="8" t="s">
        <v>17</v>
      </c>
      <c r="M10" s="8" t="s">
        <v>37</v>
      </c>
      <c r="N10" s="9">
        <f>K10/100</f>
        <v>1.0700000000000001E-2</v>
      </c>
    </row>
    <row r="11" spans="1:14" x14ac:dyDescent="0.3">
      <c r="A11" s="2" t="s">
        <v>38</v>
      </c>
      <c r="B11" s="4">
        <v>10889723904000</v>
      </c>
      <c r="C11" s="4">
        <v>35.385986000000003</v>
      </c>
      <c r="D11" s="4">
        <v>8.724062</v>
      </c>
      <c r="E11" s="6">
        <v>0.29520136462925312</v>
      </c>
      <c r="F11" s="6">
        <v>6.5238498142547521E-2</v>
      </c>
      <c r="G11" s="4">
        <v>117.095</v>
      </c>
      <c r="H11" s="4">
        <v>50.52</v>
      </c>
      <c r="I11" s="4">
        <v>2034658050048</v>
      </c>
      <c r="J11" s="4">
        <v>0.14937</v>
      </c>
      <c r="K11" s="2">
        <v>0.87</v>
      </c>
      <c r="L11" s="8" t="s">
        <v>39</v>
      </c>
      <c r="M11" s="8" t="s">
        <v>40</v>
      </c>
      <c r="N11" s="9">
        <f>K11/100</f>
        <v>8.6999999999999994E-3</v>
      </c>
    </row>
    <row r="12" spans="1:14" x14ac:dyDescent="0.3">
      <c r="A12" s="2" t="s">
        <v>41</v>
      </c>
      <c r="B12" s="4">
        <v>984848596992</v>
      </c>
      <c r="C12" s="4">
        <v>21.663112999999999</v>
      </c>
      <c r="D12" s="4">
        <v>2.9916741999999998</v>
      </c>
      <c r="E12" s="6">
        <v>0.16902651037317129</v>
      </c>
      <c r="F12" s="6">
        <v>0.14102533926194749</v>
      </c>
      <c r="G12" s="4">
        <v>1.415</v>
      </c>
      <c r="H12" s="4">
        <v>56.28</v>
      </c>
      <c r="I12" s="4">
        <v>279671898112</v>
      </c>
      <c r="J12" s="4">
        <v>0.16256000000000001</v>
      </c>
      <c r="K12" s="2">
        <v>1.05</v>
      </c>
      <c r="L12" s="8" t="s">
        <v>20</v>
      </c>
      <c r="M12" s="8" t="s">
        <v>42</v>
      </c>
      <c r="N12" s="9">
        <f>K12/100</f>
        <v>1.0500000000000001E-2</v>
      </c>
    </row>
    <row r="13" spans="1:14" x14ac:dyDescent="0.3">
      <c r="A13" s="2" t="s">
        <v>43</v>
      </c>
      <c r="B13" s="4">
        <v>2769838407680</v>
      </c>
      <c r="C13" s="4">
        <v>9.2727459999999997</v>
      </c>
      <c r="D13" s="4">
        <v>2.6271795999999998</v>
      </c>
      <c r="E13" s="6">
        <v>0.35677502186571558</v>
      </c>
      <c r="F13" s="6">
        <v>0.13588924480964271</v>
      </c>
      <c r="G13" s="4">
        <v>12.976000000000001</v>
      </c>
      <c r="H13" s="4">
        <v>48.47</v>
      </c>
      <c r="I13" s="4">
        <v>1296029450240</v>
      </c>
      <c r="J13" s="4">
        <v>0.23039000000000001</v>
      </c>
      <c r="K13" s="2">
        <v>4.9400000000000004</v>
      </c>
      <c r="L13" s="8" t="s">
        <v>14</v>
      </c>
      <c r="M13" s="8" t="s">
        <v>15</v>
      </c>
      <c r="N13" s="9">
        <f>K13/100</f>
        <v>4.9400000000000006E-2</v>
      </c>
    </row>
    <row r="14" spans="1:14" x14ac:dyDescent="0.3">
      <c r="A14" s="2" t="s">
        <v>44</v>
      </c>
      <c r="B14" s="4">
        <v>1042825019392</v>
      </c>
      <c r="C14" s="4">
        <v>18.438099000000001</v>
      </c>
      <c r="D14" s="4">
        <v>2.8004471999999998</v>
      </c>
      <c r="E14" s="6">
        <v>0.16960418491367421</v>
      </c>
      <c r="F14" s="6">
        <v>0.11469627111355429</v>
      </c>
      <c r="G14" s="4">
        <v>18.026</v>
      </c>
      <c r="H14" s="4">
        <v>67.930000000000007</v>
      </c>
      <c r="I14" s="4">
        <v>345831014400</v>
      </c>
      <c r="J14" s="4">
        <v>0.16363000999999999</v>
      </c>
      <c r="K14" s="2">
        <v>0.62</v>
      </c>
      <c r="L14" s="8" t="s">
        <v>20</v>
      </c>
      <c r="M14" s="8" t="s">
        <v>42</v>
      </c>
      <c r="N14" s="9">
        <f>K14/100</f>
        <v>6.1999999999999998E-3</v>
      </c>
    </row>
    <row r="15" spans="1:14" x14ac:dyDescent="0.3">
      <c r="A15" s="2" t="s">
        <v>45</v>
      </c>
      <c r="B15" s="4">
        <v>1808690708480</v>
      </c>
      <c r="C15" s="4">
        <v>33.845799999999997</v>
      </c>
      <c r="D15" s="4">
        <v>8.1880799999999994</v>
      </c>
      <c r="E15" s="6">
        <v>0.22231081272078171</v>
      </c>
      <c r="F15" s="6">
        <v>0.17422420578772449</v>
      </c>
      <c r="G15" s="4">
        <v>2.0179999999999998</v>
      </c>
      <c r="H15" s="4">
        <v>194.81</v>
      </c>
      <c r="I15" s="4">
        <v>224315392000</v>
      </c>
      <c r="J15" s="4">
        <v>0.23882999999999999</v>
      </c>
      <c r="K15" s="2">
        <v>1.03</v>
      </c>
      <c r="L15" s="8" t="s">
        <v>30</v>
      </c>
      <c r="M15" s="8" t="s">
        <v>31</v>
      </c>
      <c r="N15" s="9">
        <f>K15/100</f>
        <v>1.03E-2</v>
      </c>
    </row>
    <row r="16" spans="1:14" x14ac:dyDescent="0.3">
      <c r="A16" s="2" t="s">
        <v>46</v>
      </c>
      <c r="B16" s="4">
        <v>1726288494592</v>
      </c>
      <c r="C16" s="4">
        <v>38.133614000000001</v>
      </c>
      <c r="D16" s="4">
        <v>1.7334015</v>
      </c>
      <c r="E16" s="6">
        <v>3.8003376705979523E-2</v>
      </c>
      <c r="F16" s="6">
        <v>7.4034279672758607E-3</v>
      </c>
      <c r="G16" s="4">
        <v>126.634</v>
      </c>
      <c r="H16" s="4">
        <v>66.760000000000005</v>
      </c>
      <c r="I16" s="4">
        <v>1685968912384</v>
      </c>
      <c r="J16" s="4">
        <v>2.6719999000000001E-2</v>
      </c>
      <c r="K16" s="2">
        <v>0.38</v>
      </c>
      <c r="L16" s="8" t="s">
        <v>23</v>
      </c>
      <c r="M16" s="8" t="s">
        <v>47</v>
      </c>
      <c r="N16" s="9">
        <f>K16/100</f>
        <v>3.8E-3</v>
      </c>
    </row>
    <row r="17" spans="1:14" x14ac:dyDescent="0.3">
      <c r="A17" s="2" t="s">
        <v>48</v>
      </c>
      <c r="B17" s="4">
        <v>3634232295424</v>
      </c>
      <c r="C17" s="4">
        <v>22.121210000000001</v>
      </c>
      <c r="D17" s="4">
        <v>4.7244973000000003</v>
      </c>
      <c r="E17" s="6">
        <v>0.24965903380948959</v>
      </c>
      <c r="F17" s="6">
        <v>0.16476540589706659</v>
      </c>
      <c r="G17" s="4">
        <v>9.7469999999999999</v>
      </c>
      <c r="H17" s="4">
        <v>60.72</v>
      </c>
      <c r="I17" s="4">
        <v>14480000000</v>
      </c>
      <c r="J17" s="4">
        <v>0.13024999000000001</v>
      </c>
      <c r="K17" s="2">
        <v>3.96</v>
      </c>
      <c r="L17" s="8" t="s">
        <v>49</v>
      </c>
      <c r="M17" s="8" t="s">
        <v>50</v>
      </c>
      <c r="N17" s="9">
        <f>K17/100</f>
        <v>3.9599999999999996E-2</v>
      </c>
    </row>
    <row r="18" spans="1:14" x14ac:dyDescent="0.3">
      <c r="A18" s="2" t="s">
        <v>51</v>
      </c>
      <c r="B18" s="4">
        <v>11336395259904</v>
      </c>
      <c r="C18" s="4">
        <v>16.423952</v>
      </c>
      <c r="D18" s="4">
        <v>2.0053535</v>
      </c>
      <c r="E18" s="6">
        <v>8.7731904088157356E-2</v>
      </c>
      <c r="F18" s="6">
        <v>1.397677631281085E-2</v>
      </c>
      <c r="G18" s="4" t="s">
        <v>26</v>
      </c>
      <c r="H18" s="4">
        <v>44.84</v>
      </c>
      <c r="I18" s="4">
        <v>2845330898944</v>
      </c>
      <c r="J18" s="4">
        <v>0.26186999999999999</v>
      </c>
      <c r="K18" s="2">
        <v>1.45</v>
      </c>
      <c r="L18" s="8" t="s">
        <v>27</v>
      </c>
      <c r="M18" s="8" t="s">
        <v>28</v>
      </c>
      <c r="N18" s="9">
        <f>K18/100</f>
        <v>1.4499999999999999E-2</v>
      </c>
    </row>
    <row r="19" spans="1:14" x14ac:dyDescent="0.3">
      <c r="A19" s="2" t="s">
        <v>52</v>
      </c>
      <c r="B19" s="4">
        <v>1277109600256</v>
      </c>
      <c r="C19" s="4">
        <v>67.349260000000001</v>
      </c>
      <c r="D19" s="4">
        <v>7.2504590000000002</v>
      </c>
      <c r="E19" s="6">
        <v>0.11209301116337</v>
      </c>
      <c r="F19" s="6">
        <v>5.1824842210438484E-3</v>
      </c>
      <c r="G19" s="4">
        <v>17.606999999999999</v>
      </c>
      <c r="H19" s="4">
        <v>8.7899999999999991</v>
      </c>
      <c r="I19" s="4">
        <v>1041531994112</v>
      </c>
      <c r="J19" s="4">
        <v>1.8149999999999999E-2</v>
      </c>
      <c r="K19" s="2">
        <v>0.34</v>
      </c>
      <c r="L19" s="8" t="s">
        <v>27</v>
      </c>
      <c r="M19" s="8" t="s">
        <v>53</v>
      </c>
      <c r="N19" s="9">
        <f>K19/100</f>
        <v>3.4000000000000002E-3</v>
      </c>
    </row>
    <row r="20" spans="1:14" x14ac:dyDescent="0.3">
      <c r="A20" s="2" t="s">
        <v>54</v>
      </c>
      <c r="B20" s="4">
        <v>1977855246336</v>
      </c>
      <c r="C20" s="4">
        <v>12.238517</v>
      </c>
      <c r="D20" s="4">
        <v>1.4561196999999999</v>
      </c>
      <c r="E20" s="6">
        <v>0.12934386342141641</v>
      </c>
      <c r="F20" s="6">
        <v>6.0156170697504813E-2</v>
      </c>
      <c r="G20" s="4">
        <v>57.570999999999998</v>
      </c>
      <c r="H20" s="4">
        <v>72.28</v>
      </c>
      <c r="I20" s="4">
        <v>2617010028544</v>
      </c>
      <c r="J20" s="4">
        <v>6.1429999999999998E-2</v>
      </c>
      <c r="K20" s="2">
        <v>0.57999999999999996</v>
      </c>
      <c r="L20" s="8" t="s">
        <v>23</v>
      </c>
      <c r="M20" s="8" t="s">
        <v>55</v>
      </c>
      <c r="N20" s="9">
        <f>K20/100</f>
        <v>5.7999999999999996E-3</v>
      </c>
    </row>
    <row r="21" spans="1:14" x14ac:dyDescent="0.3">
      <c r="A21" s="2" t="s">
        <v>56</v>
      </c>
      <c r="B21" s="4">
        <v>4823236739072</v>
      </c>
      <c r="C21" s="4">
        <v>47.799255000000002</v>
      </c>
      <c r="D21" s="4">
        <v>9.8971470000000004</v>
      </c>
      <c r="E21" s="6">
        <v>0.2155580745718797</v>
      </c>
      <c r="F21" s="6">
        <v>0.1333124687030546</v>
      </c>
      <c r="G21" s="4">
        <v>3.6110000000000002</v>
      </c>
      <c r="H21" s="4">
        <v>42.94</v>
      </c>
      <c r="I21" s="4">
        <v>651000020992</v>
      </c>
      <c r="J21" s="4">
        <v>0.22292000000000001</v>
      </c>
      <c r="K21" s="2">
        <v>2.0699999999999998</v>
      </c>
      <c r="L21" s="8" t="s">
        <v>57</v>
      </c>
      <c r="M21" s="8" t="s">
        <v>58</v>
      </c>
      <c r="N21" s="9">
        <f>K21/100</f>
        <v>2.07E-2</v>
      </c>
    </row>
    <row r="22" spans="1:14" x14ac:dyDescent="0.3">
      <c r="A22" s="2" t="s">
        <v>59</v>
      </c>
      <c r="B22" s="4">
        <v>8651946852352</v>
      </c>
      <c r="C22" s="4">
        <v>16.487925000000001</v>
      </c>
      <c r="D22" s="4">
        <v>2.4780780999999998</v>
      </c>
      <c r="E22" s="6">
        <v>0.162562075158101</v>
      </c>
      <c r="F22" s="6">
        <v>1.931284372472852E-2</v>
      </c>
      <c r="G22" s="4" t="s">
        <v>26</v>
      </c>
      <c r="H22" s="4">
        <v>73.290000000000006</v>
      </c>
      <c r="I22" s="4">
        <v>1924702535680</v>
      </c>
      <c r="J22" s="4">
        <v>0.27512999999999999</v>
      </c>
      <c r="K22" s="2">
        <v>0.89</v>
      </c>
      <c r="L22" s="8" t="s">
        <v>27</v>
      </c>
      <c r="M22" s="8" t="s">
        <v>28</v>
      </c>
      <c r="N22" s="9">
        <f>K22/100</f>
        <v>8.8999999999999999E-3</v>
      </c>
    </row>
    <row r="23" spans="1:14" x14ac:dyDescent="0.3">
      <c r="A23" s="2" t="s">
        <v>60</v>
      </c>
      <c r="B23" s="4">
        <v>1528629035008</v>
      </c>
      <c r="C23" s="4">
        <v>47.511414000000002</v>
      </c>
      <c r="D23" s="4">
        <v>17.701599999999999</v>
      </c>
      <c r="E23" s="6">
        <v>0.77479131530069811</v>
      </c>
      <c r="F23" s="6">
        <v>6.2656946656480514E-2</v>
      </c>
      <c r="G23" s="4">
        <v>866.46199999999999</v>
      </c>
      <c r="H23" s="4">
        <v>83.22</v>
      </c>
      <c r="I23" s="4">
        <v>846754021376</v>
      </c>
      <c r="J23" s="4">
        <v>3.7929999999999998E-2</v>
      </c>
      <c r="K23" s="2">
        <v>0.24</v>
      </c>
      <c r="L23" s="8" t="s">
        <v>17</v>
      </c>
      <c r="M23" s="8" t="s">
        <v>61</v>
      </c>
      <c r="N23" s="9">
        <f>K23/100</f>
        <v>2.3999999999999998E-3</v>
      </c>
    </row>
    <row r="24" spans="1:14" x14ac:dyDescent="0.3">
      <c r="A24" s="2" t="s">
        <v>62</v>
      </c>
      <c r="B24" s="4">
        <v>5063520026624</v>
      </c>
      <c r="C24" s="4">
        <v>17.259312000000001</v>
      </c>
      <c r="D24" s="4">
        <v>5.7821902999999999</v>
      </c>
      <c r="E24" s="6">
        <v>0.28183846497099507</v>
      </c>
      <c r="F24" s="6">
        <v>0.18129628566507841</v>
      </c>
      <c r="G24" s="4">
        <v>10.531000000000001</v>
      </c>
      <c r="H24" s="4">
        <v>72.5</v>
      </c>
      <c r="I24" s="4">
        <v>19847000064</v>
      </c>
      <c r="J24" s="4">
        <v>0.16153998999999999</v>
      </c>
      <c r="K24" s="2">
        <v>3.54</v>
      </c>
      <c r="L24" s="8" t="s">
        <v>49</v>
      </c>
      <c r="M24" s="8" t="s">
        <v>50</v>
      </c>
      <c r="N24" s="9">
        <f>K24/100</f>
        <v>3.5400000000000001E-2</v>
      </c>
    </row>
    <row r="25" spans="1:14" x14ac:dyDescent="0.3">
      <c r="A25" s="2" t="s">
        <v>63</v>
      </c>
      <c r="B25" s="4">
        <v>3605980774400</v>
      </c>
      <c r="C25" s="4">
        <v>17.688997000000001</v>
      </c>
      <c r="D25" s="4">
        <v>5.0752110000000004</v>
      </c>
      <c r="E25" s="6">
        <v>0.49616743098141441</v>
      </c>
      <c r="F25" s="6">
        <v>0.39444161402772687</v>
      </c>
      <c r="G25" s="4">
        <v>0.50700000000000001</v>
      </c>
      <c r="H25" s="4">
        <v>16.27</v>
      </c>
      <c r="I25" s="4">
        <v>798087184384</v>
      </c>
      <c r="J25" s="4">
        <v>0.43890997999999998</v>
      </c>
      <c r="K25" s="2">
        <v>4.87</v>
      </c>
      <c r="L25" s="8" t="s">
        <v>57</v>
      </c>
      <c r="M25" s="8" t="s">
        <v>64</v>
      </c>
      <c r="N25" s="9">
        <f>K25/100</f>
        <v>4.87E-2</v>
      </c>
    </row>
    <row r="26" spans="1:14" x14ac:dyDescent="0.3">
      <c r="A26" s="2" t="s">
        <v>65</v>
      </c>
      <c r="B26" s="4">
        <v>1426915721216</v>
      </c>
      <c r="C26" s="4">
        <v>88.774704</v>
      </c>
      <c r="D26" s="4">
        <v>1.0532535000000001</v>
      </c>
      <c r="E26" s="6">
        <v>1.3057782137416559E-2</v>
      </c>
      <c r="F26" s="6">
        <v>1.207842652015273E-2</v>
      </c>
      <c r="G26" s="4">
        <v>7.7969999999999997</v>
      </c>
      <c r="H26" s="4">
        <v>2.5299999999999998</v>
      </c>
      <c r="I26" s="4">
        <v>25062899712</v>
      </c>
      <c r="J26" s="4">
        <v>0.64029999999999998</v>
      </c>
      <c r="K26" s="2">
        <v>0.22</v>
      </c>
      <c r="L26" s="8" t="s">
        <v>27</v>
      </c>
      <c r="M26" s="8" t="s">
        <v>66</v>
      </c>
      <c r="N26" s="9">
        <f>K26/100</f>
        <v>2.2000000000000001E-3</v>
      </c>
    </row>
    <row r="27" spans="1:14" x14ac:dyDescent="0.3">
      <c r="A27" s="2" t="s">
        <v>67</v>
      </c>
      <c r="B27" s="4">
        <v>2745776734208</v>
      </c>
      <c r="C27" s="4">
        <v>36.961525000000002</v>
      </c>
      <c r="D27" s="4">
        <v>3.3028029999999999</v>
      </c>
      <c r="E27" s="6">
        <v>4.4077689443494023E-2</v>
      </c>
      <c r="F27" s="6">
        <v>1.4555000789226641E-2</v>
      </c>
      <c r="G27" s="4">
        <v>118.74</v>
      </c>
      <c r="H27" s="4">
        <v>30.41</v>
      </c>
      <c r="I27" s="4">
        <v>1791089967104</v>
      </c>
      <c r="J27" s="4">
        <v>4.1589998000000003E-2</v>
      </c>
      <c r="K27" s="2">
        <v>0.25</v>
      </c>
      <c r="L27" s="8" t="s">
        <v>23</v>
      </c>
      <c r="M27" s="8" t="s">
        <v>68</v>
      </c>
      <c r="N27" s="9">
        <f>K27/100</f>
        <v>2.5000000000000001E-3</v>
      </c>
    </row>
    <row r="28" spans="1:14" x14ac:dyDescent="0.3">
      <c r="A28" s="2" t="s">
        <v>69</v>
      </c>
      <c r="B28" s="4">
        <v>3508272365568</v>
      </c>
      <c r="C28" s="4">
        <v>18.673902999999999</v>
      </c>
      <c r="D28" s="4">
        <v>2.0872410000000001</v>
      </c>
      <c r="E28" s="6">
        <v>0.14049196995287869</v>
      </c>
      <c r="F28" s="6">
        <v>2.51496185663347E-2</v>
      </c>
      <c r="G28" s="4" t="s">
        <v>26</v>
      </c>
      <c r="H28" s="4">
        <v>18.89</v>
      </c>
      <c r="I28" s="4">
        <v>765436690432</v>
      </c>
      <c r="J28" s="4">
        <v>0.24557999999999999</v>
      </c>
      <c r="K28" s="2">
        <v>0.14000000000000001</v>
      </c>
      <c r="L28" s="8" t="s">
        <v>27</v>
      </c>
      <c r="M28" s="8" t="s">
        <v>28</v>
      </c>
      <c r="N28" s="9">
        <f>K28/100</f>
        <v>1.4000000000000002E-3</v>
      </c>
    </row>
    <row r="29" spans="1:14" x14ac:dyDescent="0.3">
      <c r="A29" s="2" t="s">
        <v>70</v>
      </c>
      <c r="B29" s="4">
        <v>4820214743040</v>
      </c>
      <c r="C29" s="4">
        <v>27.385698000000001</v>
      </c>
      <c r="D29" s="4">
        <v>4.7544810000000002</v>
      </c>
      <c r="E29" s="6">
        <v>0.15398103129774429</v>
      </c>
      <c r="F29" s="6">
        <v>3.9620962147067867E-2</v>
      </c>
      <c r="G29" s="4">
        <v>111.84699999999999</v>
      </c>
      <c r="H29" s="4">
        <v>127.95</v>
      </c>
      <c r="I29" s="4">
        <v>2827686510592</v>
      </c>
      <c r="J29" s="4">
        <v>5.7490001999999998E-2</v>
      </c>
      <c r="K29" s="2">
        <v>0.95</v>
      </c>
      <c r="L29" s="8" t="s">
        <v>17</v>
      </c>
      <c r="M29" s="8" t="s">
        <v>71</v>
      </c>
      <c r="N29" s="9">
        <f>K29/100</f>
        <v>9.4999999999999998E-3</v>
      </c>
    </row>
    <row r="30" spans="1:14" x14ac:dyDescent="0.3">
      <c r="A30" s="2" t="s">
        <v>72</v>
      </c>
      <c r="B30" s="4">
        <v>3550758567936</v>
      </c>
      <c r="C30" s="4">
        <v>21.18768</v>
      </c>
      <c r="D30" s="4">
        <v>3.9862856999999998</v>
      </c>
      <c r="E30" s="6">
        <v>0.1678256921247277</v>
      </c>
      <c r="F30" s="6">
        <v>4.6576871399295082E-2</v>
      </c>
      <c r="G30" s="4">
        <v>132.29</v>
      </c>
      <c r="H30" s="4">
        <v>139.6</v>
      </c>
      <c r="I30" s="4">
        <v>1888898121728</v>
      </c>
      <c r="J30" s="4">
        <v>8.3260000000000001E-2</v>
      </c>
      <c r="K30" s="2">
        <v>0.83</v>
      </c>
      <c r="L30" s="8" t="s">
        <v>30</v>
      </c>
      <c r="M30" s="8" t="s">
        <v>31</v>
      </c>
      <c r="N30" s="9">
        <f>K30/100</f>
        <v>8.3000000000000001E-3</v>
      </c>
    </row>
    <row r="31" spans="1:14" x14ac:dyDescent="0.3">
      <c r="A31" s="2" t="s">
        <v>73</v>
      </c>
      <c r="B31" s="4">
        <v>3875954753536</v>
      </c>
      <c r="C31" s="4">
        <v>25.981033</v>
      </c>
      <c r="D31" s="4">
        <v>3.8858920000000001</v>
      </c>
      <c r="E31" s="6">
        <v>0.15066723884792069</v>
      </c>
      <c r="F31" s="6">
        <v>0.1098734729692252</v>
      </c>
      <c r="G31" s="4">
        <v>0.1</v>
      </c>
      <c r="H31" s="4">
        <v>474.5</v>
      </c>
      <c r="I31" s="4">
        <v>1717736046592</v>
      </c>
      <c r="J31" s="4">
        <v>8.6929999999999993E-2</v>
      </c>
      <c r="K31" s="2">
        <v>1.0900000000000001</v>
      </c>
      <c r="L31" s="8" t="s">
        <v>30</v>
      </c>
      <c r="M31" s="8" t="s">
        <v>31</v>
      </c>
      <c r="N31" s="9">
        <f>K31/100</f>
        <v>1.09E-2</v>
      </c>
    </row>
    <row r="32" spans="1:14" x14ac:dyDescent="0.3">
      <c r="A32" s="2" t="s">
        <v>74</v>
      </c>
      <c r="B32" s="4">
        <v>933723045888</v>
      </c>
      <c r="C32" s="4">
        <v>66.035790000000006</v>
      </c>
      <c r="D32" s="4">
        <v>9.3415630000000007</v>
      </c>
      <c r="E32" s="6">
        <v>0.1146887229009676</v>
      </c>
      <c r="F32" s="6">
        <v>7.071421435369464E-2</v>
      </c>
      <c r="G32" s="4">
        <v>32.579000000000001</v>
      </c>
      <c r="H32" s="4">
        <v>14.53</v>
      </c>
      <c r="I32" s="4">
        <v>81403002880</v>
      </c>
      <c r="J32" s="4">
        <v>0.17433999999999999</v>
      </c>
      <c r="K32" s="2">
        <v>0.15</v>
      </c>
      <c r="L32" s="8" t="s">
        <v>20</v>
      </c>
      <c r="M32" s="8" t="s">
        <v>21</v>
      </c>
      <c r="N32" s="9">
        <f>K32/100</f>
        <v>1.5E-3</v>
      </c>
    </row>
    <row r="33" spans="1:14" x14ac:dyDescent="0.3">
      <c r="A33" s="2" t="s">
        <v>75</v>
      </c>
      <c r="B33" s="4">
        <v>2267697643520</v>
      </c>
      <c r="C33" s="4">
        <v>69.421486000000002</v>
      </c>
      <c r="D33" s="4">
        <v>51.139327999999999</v>
      </c>
      <c r="E33" s="6">
        <v>0.79985586789719243</v>
      </c>
      <c r="F33" s="6">
        <v>0.26306124993028968</v>
      </c>
      <c r="G33" s="4">
        <v>10.753</v>
      </c>
      <c r="H33" s="4">
        <v>16.940000000000001</v>
      </c>
      <c r="I33" s="4">
        <v>218577698816</v>
      </c>
      <c r="J33" s="4">
        <v>0.14921999999999999</v>
      </c>
      <c r="K33" s="2">
        <v>1.6</v>
      </c>
      <c r="L33" s="8" t="s">
        <v>57</v>
      </c>
      <c r="M33" s="8" t="s">
        <v>76</v>
      </c>
      <c r="N33" s="9">
        <f>K33/100</f>
        <v>1.6E-2</v>
      </c>
    </row>
    <row r="34" spans="1:14" x14ac:dyDescent="0.3">
      <c r="A34" s="2" t="s">
        <v>77</v>
      </c>
      <c r="B34" s="4">
        <v>3587766747136</v>
      </c>
      <c r="C34" s="4">
        <v>20.475926999999999</v>
      </c>
      <c r="D34" s="4">
        <v>1.8666035000000001</v>
      </c>
      <c r="E34" s="6">
        <v>0.12724676695686599</v>
      </c>
      <c r="F34" s="6">
        <v>4.4685315351042691E-2</v>
      </c>
      <c r="G34" s="4">
        <v>127.753</v>
      </c>
      <c r="H34" s="4">
        <v>18.07</v>
      </c>
      <c r="I34" s="4">
        <v>1875305562112</v>
      </c>
      <c r="J34" s="4">
        <v>0.12892000000000001</v>
      </c>
      <c r="K34" s="2">
        <v>3.02</v>
      </c>
      <c r="L34" s="8" t="s">
        <v>78</v>
      </c>
      <c r="M34" s="8" t="s">
        <v>79</v>
      </c>
      <c r="N34" s="9">
        <f>K34/100</f>
        <v>3.0200000000000001E-2</v>
      </c>
    </row>
    <row r="35" spans="1:14" x14ac:dyDescent="0.3">
      <c r="A35" s="2" t="s">
        <v>80</v>
      </c>
      <c r="B35" s="4">
        <v>3583492751360</v>
      </c>
      <c r="C35" s="4">
        <v>9.4165290000000006</v>
      </c>
      <c r="D35" s="4">
        <v>0.97354996000000005</v>
      </c>
      <c r="E35" s="6">
        <v>0.105478607011947</v>
      </c>
      <c r="F35" s="6">
        <v>4.7745512037934493E-2</v>
      </c>
      <c r="G35" s="4">
        <v>43.805</v>
      </c>
      <c r="H35" s="4">
        <v>30.25</v>
      </c>
      <c r="I35" s="4">
        <v>6559959089152</v>
      </c>
      <c r="J35" s="4">
        <v>5.7979996999999998E-2</v>
      </c>
      <c r="K35" s="2">
        <v>6.56</v>
      </c>
      <c r="L35" s="8" t="s">
        <v>14</v>
      </c>
      <c r="M35" s="8" t="s">
        <v>81</v>
      </c>
      <c r="N35" s="9">
        <f>K35/100</f>
        <v>6.5599999999999992E-2</v>
      </c>
    </row>
    <row r="36" spans="1:14" x14ac:dyDescent="0.3">
      <c r="A36" s="2" t="s">
        <v>82</v>
      </c>
      <c r="B36" s="4">
        <v>2751583748096</v>
      </c>
      <c r="C36" s="4">
        <v>19.001286</v>
      </c>
      <c r="D36" s="4">
        <v>2.777126</v>
      </c>
      <c r="E36" s="6">
        <v>0.16750452527826429</v>
      </c>
      <c r="F36" s="6">
        <v>5.8327773856843179E-2</v>
      </c>
      <c r="G36" s="4">
        <v>141.18600000000001</v>
      </c>
      <c r="H36" s="4">
        <v>15.57</v>
      </c>
      <c r="I36" s="4">
        <v>473426100224</v>
      </c>
      <c r="J36" s="4">
        <v>0.32791999999999999</v>
      </c>
      <c r="K36" s="2">
        <v>4.1500000000000004</v>
      </c>
      <c r="L36" s="8" t="s">
        <v>78</v>
      </c>
      <c r="M36" s="8" t="s">
        <v>79</v>
      </c>
      <c r="N36" s="9">
        <f>K36/100</f>
        <v>4.1500000000000002E-2</v>
      </c>
    </row>
    <row r="37" spans="1:14" x14ac:dyDescent="0.3">
      <c r="A37" s="2" t="s">
        <v>83</v>
      </c>
      <c r="B37" s="4">
        <v>18225534337024</v>
      </c>
      <c r="C37" s="4">
        <v>21.909876000000001</v>
      </c>
      <c r="D37" s="4">
        <v>2.0780102999999999</v>
      </c>
      <c r="E37" s="6">
        <v>8.259962049335863E-2</v>
      </c>
      <c r="F37" s="6">
        <v>3.5714706933569762E-2</v>
      </c>
      <c r="G37" s="4">
        <v>35.651000000000003</v>
      </c>
      <c r="H37" s="4">
        <v>61.47</v>
      </c>
      <c r="I37" s="4">
        <v>10245479858176</v>
      </c>
      <c r="J37" s="4">
        <v>8.1220000000000001E-2</v>
      </c>
      <c r="K37" s="2">
        <v>0.41</v>
      </c>
      <c r="L37" s="8" t="s">
        <v>14</v>
      </c>
      <c r="M37" s="8" t="s">
        <v>84</v>
      </c>
      <c r="N37" s="9">
        <f>K37/100</f>
        <v>4.0999999999999995E-3</v>
      </c>
    </row>
    <row r="38" spans="1:14" x14ac:dyDescent="0.3">
      <c r="A38" s="2" t="s">
        <v>85</v>
      </c>
      <c r="B38" s="4">
        <v>1789616586752</v>
      </c>
      <c r="C38" s="4">
        <v>72.465469999999996</v>
      </c>
      <c r="D38" s="4">
        <v>9.4087180000000004</v>
      </c>
      <c r="E38" s="6">
        <v>0.14208126414822181</v>
      </c>
      <c r="F38" s="6">
        <v>5.2796414963063622E-3</v>
      </c>
      <c r="G38" s="4" t="s">
        <v>26</v>
      </c>
      <c r="H38" s="4">
        <v>24.62</v>
      </c>
      <c r="I38" s="4">
        <v>1312575717376</v>
      </c>
      <c r="J38" s="4">
        <v>1.8890000000000001E-2</v>
      </c>
      <c r="K38" s="2">
        <v>0.15</v>
      </c>
      <c r="L38" s="8" t="s">
        <v>27</v>
      </c>
      <c r="M38" s="8" t="s">
        <v>53</v>
      </c>
      <c r="N38" s="9">
        <f>K38/100</f>
        <v>1.5E-3</v>
      </c>
    </row>
    <row r="39" spans="1:14" x14ac:dyDescent="0.3">
      <c r="A39" s="2" t="s">
        <v>86</v>
      </c>
      <c r="B39" s="4">
        <v>9046005383168</v>
      </c>
      <c r="C39" s="4">
        <v>10.668407999999999</v>
      </c>
      <c r="D39" s="4">
        <v>1.5280005999999999</v>
      </c>
      <c r="E39" s="6">
        <v>0.15925150558866841</v>
      </c>
      <c r="F39" s="6">
        <v>1.060423457788897E-2</v>
      </c>
      <c r="G39" s="4" t="s">
        <v>26</v>
      </c>
      <c r="H39" s="4">
        <v>91.86</v>
      </c>
      <c r="I39" s="4">
        <v>3700534018048</v>
      </c>
      <c r="J39" s="4">
        <v>0.22498000000000001</v>
      </c>
      <c r="K39" s="2">
        <v>1.56</v>
      </c>
      <c r="L39" s="8" t="s">
        <v>27</v>
      </c>
      <c r="M39" s="8" t="s">
        <v>28</v>
      </c>
      <c r="N39" s="9">
        <f>K39/100</f>
        <v>1.5600000000000001E-2</v>
      </c>
    </row>
    <row r="40" spans="1:14" x14ac:dyDescent="0.3">
      <c r="A40" s="2" t="s">
        <v>87</v>
      </c>
      <c r="B40" s="4">
        <v>1637870206976</v>
      </c>
      <c r="C40" s="4">
        <v>17.904156</v>
      </c>
      <c r="D40" s="4">
        <v>2.702493</v>
      </c>
      <c r="E40" s="6">
        <v>0.16918453078122081</v>
      </c>
      <c r="F40" s="6">
        <v>3.2526725256276201E-2</v>
      </c>
      <c r="G40" s="4">
        <v>279.08300000000003</v>
      </c>
      <c r="H40" s="4">
        <v>48.62</v>
      </c>
      <c r="I40" s="4">
        <v>199077298176</v>
      </c>
      <c r="J40" s="4">
        <v>0.45946997000000001</v>
      </c>
      <c r="K40" s="2">
        <v>1.63</v>
      </c>
      <c r="L40" s="8" t="s">
        <v>27</v>
      </c>
      <c r="M40" s="8" t="s">
        <v>35</v>
      </c>
      <c r="N40" s="9">
        <f>K40/100</f>
        <v>1.6299999999999999E-2</v>
      </c>
    </row>
    <row r="41" spans="1:14" x14ac:dyDescent="0.3">
      <c r="A41" s="2" t="s">
        <v>88</v>
      </c>
      <c r="B41" s="4">
        <v>4217550929920</v>
      </c>
      <c r="C41" s="4">
        <v>38.582090000000001</v>
      </c>
      <c r="D41" s="4">
        <v>5.4175835000000001</v>
      </c>
      <c r="E41" s="6">
        <v>0.15133397453987249</v>
      </c>
      <c r="F41" s="6">
        <v>0.11866418213652941</v>
      </c>
      <c r="G41" s="4">
        <v>6.6749999999999998</v>
      </c>
      <c r="H41" s="4">
        <v>45.56</v>
      </c>
      <c r="I41" s="4">
        <v>568090886144</v>
      </c>
      <c r="J41" s="4">
        <v>0.19214001</v>
      </c>
      <c r="K41" s="2">
        <v>0.92</v>
      </c>
      <c r="L41" s="8" t="s">
        <v>20</v>
      </c>
      <c r="M41" s="8" t="s">
        <v>42</v>
      </c>
      <c r="N41" s="9">
        <f>K41/100</f>
        <v>9.1999999999999998E-3</v>
      </c>
    </row>
    <row r="42" spans="1:14" x14ac:dyDescent="0.3">
      <c r="A42" s="2" t="s">
        <v>89</v>
      </c>
      <c r="B42" s="4">
        <v>1005731905536</v>
      </c>
      <c r="C42" s="4">
        <v>68.755070000000003</v>
      </c>
      <c r="D42" s="4">
        <v>4.9468655999999998</v>
      </c>
      <c r="E42" s="6">
        <v>6.3920048317390857E-2</v>
      </c>
      <c r="F42" s="6">
        <v>3.998007360133693E-2</v>
      </c>
      <c r="G42" s="4">
        <v>11.869</v>
      </c>
      <c r="H42" s="4">
        <v>14.78</v>
      </c>
      <c r="I42" s="4">
        <v>194650292224</v>
      </c>
      <c r="J42" s="4">
        <v>7.5420000000000001E-2</v>
      </c>
      <c r="K42" s="2">
        <v>0.79</v>
      </c>
      <c r="L42" s="8" t="s">
        <v>57</v>
      </c>
      <c r="M42" s="8" t="s">
        <v>76</v>
      </c>
      <c r="N42" s="9">
        <f>K42/100</f>
        <v>7.9000000000000008E-3</v>
      </c>
    </row>
    <row r="43" spans="1:14" x14ac:dyDescent="0.3">
      <c r="A43" s="2" t="s">
        <v>90</v>
      </c>
      <c r="B43" s="4">
        <v>2392349999104</v>
      </c>
      <c r="C43" s="4">
        <v>26.133516</v>
      </c>
      <c r="D43" s="4">
        <v>2.5166295000000001</v>
      </c>
      <c r="E43" s="6">
        <v>3.7518085792385032E-2</v>
      </c>
      <c r="F43" s="6">
        <v>1.224256858037444E-2</v>
      </c>
      <c r="G43" s="4">
        <v>99.698999999999998</v>
      </c>
      <c r="H43" s="4">
        <v>7.34</v>
      </c>
      <c r="I43" s="4">
        <v>2250879270912</v>
      </c>
      <c r="J43" s="4">
        <v>4.0730000000000002E-2</v>
      </c>
      <c r="K43" s="2">
        <v>1.86</v>
      </c>
      <c r="L43" s="8" t="s">
        <v>23</v>
      </c>
      <c r="M43" s="8" t="s">
        <v>68</v>
      </c>
      <c r="N43" s="9">
        <f>K43/100</f>
        <v>1.8600000000000002E-2</v>
      </c>
    </row>
    <row r="44" spans="1:14" x14ac:dyDescent="0.3">
      <c r="A44" s="2" t="s">
        <v>91</v>
      </c>
      <c r="B44" s="4">
        <v>8567269097472</v>
      </c>
      <c r="C44" s="4">
        <v>17.949514000000001</v>
      </c>
      <c r="D44" s="4">
        <v>7.5476450000000002</v>
      </c>
      <c r="E44" s="6">
        <v>0.51240027016758838</v>
      </c>
      <c r="F44" s="6">
        <v>0.30416152453501549</v>
      </c>
      <c r="G44" s="4">
        <v>9.4440000000000008</v>
      </c>
      <c r="H44" s="4">
        <v>131.91999999999999</v>
      </c>
      <c r="I44" s="4">
        <v>2608020062208</v>
      </c>
      <c r="J44" s="4">
        <v>0.18295998999999999</v>
      </c>
      <c r="K44" s="2">
        <v>2.64</v>
      </c>
      <c r="L44" s="8" t="s">
        <v>49</v>
      </c>
      <c r="M44" s="8" t="s">
        <v>50</v>
      </c>
      <c r="N44" s="9">
        <f>K44/100</f>
        <v>2.64E-2</v>
      </c>
    </row>
    <row r="45" spans="1:14" x14ac:dyDescent="0.3">
      <c r="A45" s="2" t="s">
        <v>92</v>
      </c>
      <c r="B45" s="4">
        <v>1232608690176</v>
      </c>
      <c r="C45" s="4">
        <v>26.726224999999999</v>
      </c>
      <c r="D45" s="4">
        <v>4.4818964000000001</v>
      </c>
      <c r="E45" s="6">
        <v>0.15538256309047391</v>
      </c>
      <c r="F45" s="6">
        <v>9.555113553360528E-2</v>
      </c>
      <c r="G45" s="4">
        <v>6.992</v>
      </c>
      <c r="H45" s="4">
        <v>52.05</v>
      </c>
      <c r="I45" s="4">
        <v>551232995328</v>
      </c>
      <c r="J45" s="4">
        <v>8.3879990000000001E-2</v>
      </c>
      <c r="K45" s="2">
        <v>3.23</v>
      </c>
      <c r="L45" s="8" t="s">
        <v>49</v>
      </c>
      <c r="M45" s="8" t="s">
        <v>50</v>
      </c>
      <c r="N45" s="9">
        <f>K45/100</f>
        <v>3.2300000000000002E-2</v>
      </c>
    </row>
    <row r="46" spans="1:14" x14ac:dyDescent="0.3">
      <c r="A46" s="2" t="s">
        <v>93</v>
      </c>
      <c r="B46" s="4">
        <v>3511812096000</v>
      </c>
      <c r="C46" s="4">
        <v>73.655815000000004</v>
      </c>
      <c r="D46" s="4">
        <v>27.421264999999998</v>
      </c>
      <c r="E46" s="6">
        <v>0.28707845836200963</v>
      </c>
      <c r="F46" s="6">
        <v>8.2097079735281811E-2</v>
      </c>
      <c r="G46" s="4">
        <v>223.018</v>
      </c>
      <c r="H46" s="4">
        <v>53.75</v>
      </c>
      <c r="I46" s="4">
        <v>755800014848</v>
      </c>
      <c r="J46" s="4">
        <v>6.3060000000000005E-2</v>
      </c>
      <c r="K46" s="2">
        <v>0.28000000000000003</v>
      </c>
      <c r="L46" s="8" t="s">
        <v>30</v>
      </c>
      <c r="M46" s="8" t="s">
        <v>94</v>
      </c>
      <c r="N46" s="9">
        <f>K46/100</f>
        <v>2.8000000000000004E-3</v>
      </c>
    </row>
    <row r="47" spans="1:14" x14ac:dyDescent="0.3">
      <c r="A47" s="2" t="s">
        <v>95</v>
      </c>
      <c r="B47" s="4">
        <v>1093850169344</v>
      </c>
      <c r="C47" s="4">
        <v>27.918232</v>
      </c>
      <c r="D47" s="4">
        <v>0.98799300000000001</v>
      </c>
      <c r="E47" s="6">
        <v>0.23961633833861409</v>
      </c>
      <c r="F47" s="6">
        <v>7.3499506129800704E-2</v>
      </c>
      <c r="G47" s="4">
        <v>56.134</v>
      </c>
      <c r="H47" s="4">
        <v>10.64</v>
      </c>
      <c r="I47" s="4">
        <v>4021130100736</v>
      </c>
      <c r="J47" s="4">
        <v>0.21158001000000001</v>
      </c>
      <c r="K47" s="2">
        <v>1.98</v>
      </c>
      <c r="L47" s="8" t="s">
        <v>30</v>
      </c>
      <c r="M47" s="8" t="s">
        <v>31</v>
      </c>
      <c r="N47" s="9">
        <f>K47/100</f>
        <v>1.9799999999999998E-2</v>
      </c>
    </row>
    <row r="48" spans="1:14" x14ac:dyDescent="0.3">
      <c r="A48" s="2" t="s">
        <v>96</v>
      </c>
      <c r="B48" s="4">
        <v>1173748449280</v>
      </c>
      <c r="C48" s="4">
        <v>71.950320000000005</v>
      </c>
      <c r="D48" s="4">
        <v>19.239017</v>
      </c>
      <c r="E48" s="6">
        <v>0.28319180334472172</v>
      </c>
      <c r="F48" s="6">
        <v>0.16420160430759559</v>
      </c>
      <c r="G48" s="4">
        <v>37.79</v>
      </c>
      <c r="H48" s="4">
        <v>45.89</v>
      </c>
      <c r="I48" s="4">
        <v>192631603200</v>
      </c>
      <c r="J48" s="4">
        <v>8.5010009999999997E-2</v>
      </c>
      <c r="K48" s="2">
        <v>0.15</v>
      </c>
      <c r="L48" s="8" t="s">
        <v>30</v>
      </c>
      <c r="M48" s="8" t="s">
        <v>97</v>
      </c>
      <c r="N48" s="9">
        <f>K48/100</f>
        <v>1.5E-3</v>
      </c>
    </row>
    <row r="49" spans="1:14" x14ac:dyDescent="0.3">
      <c r="A49" s="2" t="s">
        <v>98</v>
      </c>
      <c r="B49" s="4">
        <v>3163840053248</v>
      </c>
      <c r="C49" s="4">
        <v>41.244819999999997</v>
      </c>
      <c r="D49" s="4">
        <v>4.3917875000000004</v>
      </c>
      <c r="E49" s="6">
        <v>8.5410633239221642E-2</v>
      </c>
      <c r="F49" s="6">
        <v>4.5170069431542149E-2</v>
      </c>
      <c r="G49" s="4">
        <v>33.192</v>
      </c>
      <c r="H49" s="4">
        <v>260.76</v>
      </c>
      <c r="I49" s="4">
        <v>857753780224</v>
      </c>
      <c r="J49" s="4">
        <v>8.9359999999999995E-2</v>
      </c>
      <c r="K49" s="2">
        <v>0.7</v>
      </c>
      <c r="L49" s="8" t="s">
        <v>23</v>
      </c>
      <c r="M49" s="8" t="s">
        <v>47</v>
      </c>
      <c r="N49" s="9">
        <f>K49/100</f>
        <v>6.9999999999999993E-3</v>
      </c>
    </row>
    <row r="50" spans="1:14" x14ac:dyDescent="0.3">
      <c r="A50" s="2" t="s">
        <v>99</v>
      </c>
      <c r="B50" s="4">
        <v>1966384873472</v>
      </c>
      <c r="C50" s="4">
        <v>14.848772</v>
      </c>
      <c r="D50" s="4">
        <v>2.1905806000000001</v>
      </c>
      <c r="E50" s="6">
        <v>0.15858091605910349</v>
      </c>
      <c r="F50" s="6">
        <v>0.10210023940552811</v>
      </c>
      <c r="G50" s="4">
        <v>22.030999999999999</v>
      </c>
      <c r="H50" s="4">
        <v>12.63</v>
      </c>
      <c r="I50" s="4">
        <v>908918980608</v>
      </c>
      <c r="J50" s="4">
        <v>0.14593999999999999</v>
      </c>
      <c r="K50" s="2">
        <v>8.8699999999999992</v>
      </c>
      <c r="L50" s="8" t="s">
        <v>49</v>
      </c>
      <c r="M50" s="8" t="s">
        <v>50</v>
      </c>
      <c r="N50" s="9">
        <f>K50/100</f>
        <v>8.8699999999999987E-2</v>
      </c>
    </row>
    <row r="51" spans="1:14" x14ac:dyDescent="0.3">
      <c r="A51" s="2" t="s">
        <v>100</v>
      </c>
      <c r="B51" s="4">
        <v>2091784208384</v>
      </c>
      <c r="C51" s="4">
        <v>998.08690000000001</v>
      </c>
      <c r="D51" s="4">
        <v>6.9159160000000002</v>
      </c>
      <c r="E51" s="6">
        <v>1.7382986443249659E-2</v>
      </c>
      <c r="F51" s="6">
        <v>1.4793812985992199E-2</v>
      </c>
      <c r="G51" s="4">
        <v>10.875</v>
      </c>
      <c r="H51" s="4">
        <v>0.23</v>
      </c>
      <c r="I51" s="4">
        <v>429050003456</v>
      </c>
      <c r="J51" s="4">
        <v>5.3800000000000002E-3</v>
      </c>
      <c r="K51" s="2" t="s">
        <v>26</v>
      </c>
      <c r="L51" s="8" t="s">
        <v>30</v>
      </c>
      <c r="M51" s="8" t="s">
        <v>101</v>
      </c>
      <c r="N51" s="9" t="e">
        <f>K51/100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2026-03-30T10:48:52Z</dcterms:created>
  <dcterms:modified xsi:type="dcterms:W3CDTF">2026-03-30T15:20:42Z</dcterms:modified>
</cp:coreProperties>
</file>